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<sst xmlns="http://schemas.openxmlformats.org/spreadsheetml/2006/main" count="64" uniqueCount="64">
  <si>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SDG's DIALOGUE, CLIMATE ACTION INNOVATION, AGROECOLOGY, AGROFORESTRY AND ENERGY  2026 CONFERENCE BUDGET</t>
  </si>
  <si>
    <t>ITEM/CATEGORY</t>
  </si>
  <si>
    <t>DESCRIPTION</t>
  </si>
  <si>
    <t>UNIT COST(KSH)</t>
  </si>
  <si>
    <t>QTY</t>
  </si>
  <si>
    <t>TOTAL COST (KSH)</t>
  </si>
  <si>
    <t>TOTAL COST (USD)</t>
  </si>
  <si>
    <t>CONFERENCE MATERIAL</t>
  </si>
  <si>
    <t>Design for Posters and Banners</t>
  </si>
  <si>
    <t>Conference Catering</t>
  </si>
  <si>
    <t>Tea and Lunch</t>
  </si>
  <si>
    <t>Drinking Water</t>
  </si>
  <si>
    <t>Meals and Accomodation</t>
  </si>
  <si>
    <t>Accomodation for Guests(50 guests for 5 days @ ksh. 5,000 per day)</t>
  </si>
  <si>
    <t>Tents and Chairs</t>
  </si>
  <si>
    <t>Hiring of tents, Chairs and Tables for Exhibitions</t>
  </si>
  <si>
    <t>Administration Costs</t>
  </si>
  <si>
    <t>Printing and photocopying</t>
  </si>
  <si>
    <t>Stationery</t>
  </si>
  <si>
    <t>Note books and Pens</t>
  </si>
  <si>
    <t>Conference Machandise</t>
  </si>
  <si>
    <t>Branded t-shirts and Capes</t>
  </si>
  <si>
    <t>Planning Meeting Logistics</t>
  </si>
  <si>
    <t>Travelling to planning meetings and relatred logistics</t>
  </si>
  <si>
    <t>Transport Logistics</t>
  </si>
  <si>
    <t>Taxi services for guests to and from the conference venue</t>
  </si>
  <si>
    <t>Confernce Identification Badges</t>
  </si>
  <si>
    <t xml:space="preserve">Conference Participation &amp; Identification Badges </t>
  </si>
  <si>
    <t>Photography/Videography</t>
  </si>
  <si>
    <t>Shooting Videos and Photography</t>
  </si>
  <si>
    <t>Advertisement</t>
  </si>
  <si>
    <t>Print and TV advertisement</t>
  </si>
  <si>
    <t>Honorarium &amp; Facilitation</t>
  </si>
  <si>
    <t>Gifts for selected guests</t>
  </si>
  <si>
    <t>Conference Branding &amp; Decor</t>
  </si>
  <si>
    <t>Conference decor</t>
  </si>
  <si>
    <t>CONFERENCE PRE-EVENTS (Mon 25th - Friday 30th)</t>
  </si>
  <si>
    <t>Community Outreach</t>
  </si>
  <si>
    <t>Cleanup and awareness creation exercise</t>
  </si>
  <si>
    <t>Tree Planting (Growing) Exercise</t>
  </si>
  <si>
    <t>1,000 Seedlings assorted species</t>
  </si>
  <si>
    <t>Humanitarian Outreach</t>
  </si>
  <si>
    <t>Medical camp, Blood Donation and Mobilization Drive</t>
  </si>
  <si>
    <t xml:space="preserve">Contigency </t>
  </si>
  <si>
    <t>TOTAL</t>
  </si>
  <si>
    <t>Kindly Make Payment of Your Partnership and Support to the Account Details Provided below to enable us do this.</t>
  </si>
  <si>
    <t>Thanks for your favourable response and valuable partnership</t>
  </si>
  <si>
    <t>PAYBILL No:- 719 026</t>
  </si>
  <si>
    <t>Accnt Name:- Your Name or Organization</t>
  </si>
  <si>
    <t xml:space="preserve"> </t>
  </si>
  <si>
    <t>EQUITY BANK, Kenyatta Avenue Branch</t>
  </si>
  <si>
    <t>Accnt Name:-TEAM ENVIRONMENT ASSOCIATION</t>
  </si>
  <si>
    <r>
      <rPr>
        <b/>
        <sz val="11.5"/>
        <color theme="1"/>
        <rFont val="Arial"/>
        <charset val="134"/>
      </rPr>
      <t>Accnt No</t>
    </r>
    <r>
      <rPr>
        <sz val="11.5"/>
        <color theme="1"/>
        <rFont val="Arial"/>
        <charset val="134"/>
      </rPr>
      <t>: 1600282600617</t>
    </r>
  </si>
  <si>
    <t xml:space="preserve">ORGANIZING COMMITTEE </t>
  </si>
  <si>
    <t xml:space="preserve">Mathew Ochanda - Lead - TEAMEnvironment KENYA </t>
  </si>
  <si>
    <t>0718 052 745</t>
  </si>
  <si>
    <t>Larry Okumu - Organizing Secretary</t>
  </si>
  <si>
    <t>0775 204 297</t>
  </si>
  <si>
    <t>Yassin Ali - TEK, Comms Director</t>
  </si>
  <si>
    <t>0757 428 671</t>
  </si>
  <si>
    <t>Mercy Njue - Coporates Communication</t>
  </si>
  <si>
    <t>0708 050 577</t>
  </si>
  <si>
    <t>Delstarford Isaiah - Technical Logistical Officer</t>
  </si>
  <si>
    <t>0707605751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</si>
</sst>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176" formatCode="_-* #,##0.00_-;\-* #,##0.00_-;_-* &quot;-&quot;??_-;_-@_-"/>
    <numFmt numFmtId="177" formatCode="_-&quot;Ksh&quot;* #,##0.00_-;\-&quot;Ksh&quot;* #,##0.00_-;_-&quot;Ksh&quot;* &quot;-&quot;??_-;_-@_-"/>
    <numFmt numFmtId="178" formatCode="_ * #,##0_ ;_ * \-#,##0_ ;_ * &quot;-&quot;_ ;_ @_ "/>
    <numFmt numFmtId="179" formatCode="_-[$$-409]* #,##0.00_ ;_-[$$-409]* \-#,##0.00\ ;_-[$$-409]* &quot;-&quot;??_ ;_-@_ "/>
  </numFmts>
  <fonts count="28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1.5"/>
      <color theme="1"/>
      <name val="Arial"/>
      <charset val="134"/>
    </font>
    <font>
      <b/>
      <sz val="11.5"/>
      <color theme="1"/>
      <name val="Arial"/>
      <charset val="134"/>
    </font>
    <font>
      <sz val="11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/>
    <xf numFmtId="0" fontId="2" fillId="0" borderId="0" xfId="0" applyFont="1" applyAlignment="1">
      <alignment horizontal="center"/>
    </xf>
    <xf numFmtId="176" fontId="0" fillId="0" borderId="0" xfId="1" applyFont="1" applyAlignment="1">
      <alignment horizontal="center"/>
    </xf>
    <xf numFmtId="176" fontId="0" fillId="3" borderId="1" xfId="1" applyFon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1" xfId="1" applyFont="1" applyBorder="1" applyAlignment="1">
      <alignment horizontal="center"/>
    </xf>
    <xf numFmtId="176" fontId="0" fillId="0" borderId="0" xfId="0" applyNumberFormat="1"/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177" fontId="2" fillId="0" borderId="2" xfId="2" applyFont="1" applyBorder="1" applyAlignment="1">
      <alignment horizontal="center"/>
    </xf>
    <xf numFmtId="179" fontId="2" fillId="0" borderId="2" xfId="0" applyNumberFormat="1" applyFont="1" applyBorder="1"/>
    <xf numFmtId="0" fontId="5" fillId="0" borderId="0" xfId="0" applyFont="1"/>
    <xf numFmtId="179" fontId="0" fillId="0" borderId="0" xfId="0" applyNumberFormat="1"/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alignment horizontal="center"/>
    </dxf>
    <dxf>
      <alignment horizontal="center" wrapText="1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le2" displayName="Table2" ref="B2:E23" totalsRowShown="0">
  <autoFilter xmlns:etc="http://www.wps.cn/officeDocument/2017/etCustomData" ref="B2:E23" etc:filterBottomFollowUsedRange="0">
    <filterColumn colId="0" hiddenButton="1"/>
    <filterColumn colId="1" hiddenButton="1"/>
    <filterColumn colId="2" hiddenButton="1"/>
    <filterColumn colId="3" hiddenButton="1"/>
  </autoFilter>
  <tableColumns count="4">
    <tableColumn id="1" name="ITEM/CATEGORY" dataDxfId="0"/>
    <tableColumn id="2" name="DESCRIPTION" dataDxfId="1"/>
    <tableColumn id="3" name="UNIT COST(KSH)" dataDxfId="2"/>
    <tableColumn id="4" name="QTY" dataDxfId="3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tabSelected="1" zoomScale="107" zoomScaleNormal="107" topLeftCell="A26" workbookViewId="0">
      <selection activeCell="D31" sqref="D31"/>
    </sheetView>
  </sheetViews>
  <sheetFormatPr defaultColWidth="30.4380952380952" defaultRowHeight="15" outlineLevelCol="7"/>
  <cols>
    <col min="1" max="1" width="3.78095238095238" customWidth="1"/>
    <col min="3" max="3" width="32.2190476190476" style="1" customWidth="1"/>
    <col min="4" max="4" width="17.552380952381" customWidth="1"/>
    <col min="5" max="5" width="12.552380952381" customWidth="1"/>
    <col min="6" max="6" width="17.4380952380952" customWidth="1"/>
    <col min="7" max="7" width="17.1047619047619" customWidth="1"/>
  </cols>
  <sheetData>
    <row r="1" spans="2:7">
      <c r="B1" s="2" t="s">
        <v>0</v>
      </c>
      <c r="C1" s="3"/>
      <c r="D1" s="3"/>
      <c r="E1" s="3"/>
      <c r="F1" s="3"/>
      <c r="G1" s="4"/>
    </row>
    <row r="2" spans="2:7">
      <c r="B2" s="5" t="s">
        <v>1</v>
      </c>
      <c r="C2" s="6" t="s">
        <v>2</v>
      </c>
      <c r="D2" s="5" t="s">
        <v>3</v>
      </c>
      <c r="E2" s="5" t="s">
        <v>4</v>
      </c>
      <c r="F2" s="7" t="s">
        <v>5</v>
      </c>
      <c r="G2" s="8" t="s">
        <v>6</v>
      </c>
    </row>
    <row r="3" spans="1:7">
      <c r="A3">
        <v>1</v>
      </c>
      <c r="B3" s="9" t="s">
        <v>7</v>
      </c>
      <c r="C3" s="6" t="s">
        <v>8</v>
      </c>
      <c r="D3" s="10">
        <v>15000</v>
      </c>
      <c r="E3" s="10">
        <v>8</v>
      </c>
      <c r="F3" s="11">
        <f>Table2[[#This Row],[UNIT COST(KSH)]]*Table2[[#This Row],[QTY]]</f>
        <v>120000</v>
      </c>
      <c r="G3" s="12">
        <f>F3/128.4</f>
        <v>934.579439252336</v>
      </c>
    </row>
    <row r="4" spans="1:7">
      <c r="A4">
        <v>2</v>
      </c>
      <c r="B4" s="9" t="s">
        <v>9</v>
      </c>
      <c r="C4" s="6" t="s">
        <v>10</v>
      </c>
      <c r="D4" s="10">
        <v>3000</v>
      </c>
      <c r="E4" s="10">
        <v>1000</v>
      </c>
      <c r="F4" s="13">
        <f>Table2[[#This Row],[UNIT COST(KSH)]]*Table2[[#This Row],[QTY]]</f>
        <v>3000000</v>
      </c>
      <c r="G4" s="14">
        <f t="shared" ref="G4:G23" si="0">F4/128.4</f>
        <v>23364.4859813084</v>
      </c>
    </row>
    <row r="5" spans="2:7">
      <c r="B5" s="9"/>
      <c r="C5" s="6" t="s">
        <v>11</v>
      </c>
      <c r="D5" s="10">
        <v>50</v>
      </c>
      <c r="E5" s="10">
        <v>1000</v>
      </c>
      <c r="F5" s="13">
        <f>Table2[[#This Row],[UNIT COST(KSH)]]*Table2[[#This Row],[QTY]]</f>
        <v>50000</v>
      </c>
      <c r="G5" s="14">
        <f t="shared" si="0"/>
        <v>389.408099688473</v>
      </c>
    </row>
    <row r="6" ht="30" spans="1:7">
      <c r="A6">
        <v>3</v>
      </c>
      <c r="B6" s="9" t="s">
        <v>12</v>
      </c>
      <c r="C6" s="6" t="s">
        <v>13</v>
      </c>
      <c r="D6" s="10">
        <v>5000</v>
      </c>
      <c r="E6" s="10">
        <v>50</v>
      </c>
      <c r="F6" s="11">
        <f>Table2[[#This Row],[UNIT COST(KSH)]]*Table2[[#This Row],[QTY]]</f>
        <v>250000</v>
      </c>
      <c r="G6" s="12">
        <f t="shared" si="0"/>
        <v>1947.04049844237</v>
      </c>
    </row>
    <row r="7" ht="30" spans="2:7">
      <c r="B7" s="9" t="s">
        <v>14</v>
      </c>
      <c r="C7" s="6" t="s">
        <v>15</v>
      </c>
      <c r="D7" s="10">
        <v>15000</v>
      </c>
      <c r="E7" s="10">
        <v>100</v>
      </c>
      <c r="F7" s="11">
        <f>Table2[[#This Row],[UNIT COST(KSH)]]*Table2[[#This Row],[QTY]]</f>
        <v>1500000</v>
      </c>
      <c r="G7" s="12">
        <f t="shared" si="0"/>
        <v>11682.2429906542</v>
      </c>
    </row>
    <row r="8" spans="1:7">
      <c r="A8">
        <v>5</v>
      </c>
      <c r="B8" s="9" t="s">
        <v>16</v>
      </c>
      <c r="C8" s="6" t="s">
        <v>17</v>
      </c>
      <c r="D8" s="10">
        <v>100000</v>
      </c>
      <c r="E8" s="10">
        <v>2</v>
      </c>
      <c r="F8" s="11">
        <f>Table2[[#This Row],[UNIT COST(KSH)]]*Table2[[#This Row],[QTY]]</f>
        <v>200000</v>
      </c>
      <c r="G8" s="12">
        <f t="shared" si="0"/>
        <v>1557.63239875389</v>
      </c>
    </row>
    <row r="9" spans="2:7">
      <c r="B9" s="15" t="s">
        <v>18</v>
      </c>
      <c r="C9" s="6" t="s">
        <v>19</v>
      </c>
      <c r="D9" s="10">
        <v>100</v>
      </c>
      <c r="E9" s="10">
        <v>1000</v>
      </c>
      <c r="F9" s="11">
        <f>Table2[[#This Row],[UNIT COST(KSH)]]*Table2[[#This Row],[QTY]]</f>
        <v>100000</v>
      </c>
      <c r="G9" s="12">
        <f t="shared" si="0"/>
        <v>778.816199376947</v>
      </c>
    </row>
    <row r="10" spans="2:7">
      <c r="B10" s="9" t="s">
        <v>20</v>
      </c>
      <c r="C10" s="6" t="s">
        <v>21</v>
      </c>
      <c r="D10" s="10">
        <v>1000</v>
      </c>
      <c r="E10" s="10">
        <v>1000</v>
      </c>
      <c r="F10" s="11">
        <f>Table2[[#This Row],[UNIT COST(KSH)]]*Table2[[#This Row],[QTY]]</f>
        <v>1000000</v>
      </c>
      <c r="G10" s="12">
        <f t="shared" si="0"/>
        <v>7788.16199376947</v>
      </c>
    </row>
    <row r="11" ht="30" spans="2:7">
      <c r="B11" s="9" t="s">
        <v>22</v>
      </c>
      <c r="C11" s="6" t="s">
        <v>23</v>
      </c>
      <c r="D11" s="10">
        <v>5000</v>
      </c>
      <c r="E11" s="10">
        <v>50</v>
      </c>
      <c r="F11" s="13">
        <f>Table2[[#This Row],[UNIT COST(KSH)]]*Table2[[#This Row],[QTY]]</f>
        <v>250000</v>
      </c>
      <c r="G11" s="14">
        <f t="shared" si="0"/>
        <v>1947.04049844237</v>
      </c>
    </row>
    <row r="12" ht="30" spans="1:7">
      <c r="A12">
        <v>6</v>
      </c>
      <c r="B12" s="9" t="s">
        <v>24</v>
      </c>
      <c r="C12" s="6" t="s">
        <v>25</v>
      </c>
      <c r="D12" s="10">
        <v>50000</v>
      </c>
      <c r="E12" s="10">
        <v>50</v>
      </c>
      <c r="F12" s="11">
        <f>Table2[[#This Row],[UNIT COST(KSH)]]*Table2[[#This Row],[QTY]]</f>
        <v>2500000</v>
      </c>
      <c r="G12" s="12">
        <f t="shared" si="0"/>
        <v>19470.4049844237</v>
      </c>
    </row>
    <row r="13" ht="30" spans="1:7">
      <c r="A13">
        <v>7</v>
      </c>
      <c r="B13" s="9" t="s">
        <v>26</v>
      </c>
      <c r="C13" s="6" t="s">
        <v>27</v>
      </c>
      <c r="D13" s="10">
        <v>100</v>
      </c>
      <c r="E13" s="10">
        <v>1000</v>
      </c>
      <c r="F13" s="13">
        <f>Table2[[#This Row],[UNIT COST(KSH)]]*Table2[[#This Row],[QTY]]</f>
        <v>100000</v>
      </c>
      <c r="G13" s="14">
        <f t="shared" si="0"/>
        <v>778.816199376947</v>
      </c>
    </row>
    <row r="14" spans="1:7">
      <c r="A14">
        <v>8</v>
      </c>
      <c r="B14" s="9" t="s">
        <v>28</v>
      </c>
      <c r="C14" s="6" t="s">
        <v>29</v>
      </c>
      <c r="D14" s="10">
        <v>100000</v>
      </c>
      <c r="E14" s="10">
        <v>5</v>
      </c>
      <c r="F14" s="11">
        <f>Table2[[#This Row],[UNIT COST(KSH)]]*Table2[[#This Row],[QTY]]</f>
        <v>500000</v>
      </c>
      <c r="G14" s="12">
        <f t="shared" si="0"/>
        <v>3894.08099688474</v>
      </c>
    </row>
    <row r="15" spans="1:7">
      <c r="A15">
        <v>9</v>
      </c>
      <c r="B15" s="9" t="s">
        <v>30</v>
      </c>
      <c r="C15" s="6" t="s">
        <v>31</v>
      </c>
      <c r="D15" s="10">
        <v>500000</v>
      </c>
      <c r="E15" s="10">
        <v>5</v>
      </c>
      <c r="F15" s="13">
        <f>Table2[[#This Row],[UNIT COST(KSH)]]*Table2[[#This Row],[QTY]]</f>
        <v>2500000</v>
      </c>
      <c r="G15" s="14">
        <f t="shared" si="0"/>
        <v>19470.4049844237</v>
      </c>
    </row>
    <row r="16" spans="1:7">
      <c r="A16">
        <v>10</v>
      </c>
      <c r="B16" s="9" t="s">
        <v>32</v>
      </c>
      <c r="C16" s="6" t="s">
        <v>33</v>
      </c>
      <c r="D16" s="10">
        <v>50000</v>
      </c>
      <c r="E16" s="10">
        <v>20</v>
      </c>
      <c r="F16" s="11">
        <f>Table2[[#This Row],[UNIT COST(KSH)]]*Table2[[#This Row],[QTY]]</f>
        <v>1000000</v>
      </c>
      <c r="G16" s="12">
        <f t="shared" si="0"/>
        <v>7788.16199376947</v>
      </c>
    </row>
    <row r="17" spans="1:7">
      <c r="A17">
        <v>12</v>
      </c>
      <c r="B17" s="9" t="s">
        <v>34</v>
      </c>
      <c r="C17" s="6" t="s">
        <v>35</v>
      </c>
      <c r="D17" s="10">
        <v>400000</v>
      </c>
      <c r="E17" s="10">
        <v>5</v>
      </c>
      <c r="F17" s="11">
        <f>Table2[[#This Row],[UNIT COST(KSH)]]*Table2[[#This Row],[QTY]]</f>
        <v>2000000</v>
      </c>
      <c r="G17" s="12">
        <f t="shared" si="0"/>
        <v>15576.3239875389</v>
      </c>
    </row>
    <row r="18" ht="30" spans="2:7">
      <c r="B18" s="15" t="s">
        <v>36</v>
      </c>
      <c r="C18" s="6"/>
      <c r="D18" s="10"/>
      <c r="E18" s="10"/>
      <c r="F18" s="11"/>
      <c r="G18" s="14"/>
    </row>
    <row r="19" ht="30" spans="1:7">
      <c r="A19">
        <v>13</v>
      </c>
      <c r="B19" s="5" t="s">
        <v>37</v>
      </c>
      <c r="C19" s="6" t="s">
        <v>38</v>
      </c>
      <c r="D19" s="10">
        <v>300</v>
      </c>
      <c r="E19" s="10">
        <v>1000</v>
      </c>
      <c r="F19" s="11">
        <f>Table2[[#This Row],[UNIT COST(KSH)]]*Table2[[#This Row],[QTY]]</f>
        <v>300000</v>
      </c>
      <c r="G19" s="12">
        <f>F19/128.4</f>
        <v>2336.44859813084</v>
      </c>
    </row>
    <row r="20" spans="1:7">
      <c r="A20">
        <v>14</v>
      </c>
      <c r="B20" s="5" t="s">
        <v>39</v>
      </c>
      <c r="C20" s="6" t="s">
        <v>40</v>
      </c>
      <c r="D20" s="10">
        <v>40</v>
      </c>
      <c r="E20" s="10">
        <v>1000</v>
      </c>
      <c r="F20" s="11">
        <f>Table2[[#This Row],[UNIT COST(KSH)]]*Table2[[#This Row],[QTY]]</f>
        <v>40000</v>
      </c>
      <c r="G20" s="12">
        <f t="shared" ref="G20:G21" si="1">F20/128.4</f>
        <v>311.526479750779</v>
      </c>
    </row>
    <row r="21" ht="30" spans="1:7">
      <c r="A21">
        <v>15</v>
      </c>
      <c r="B21" s="5" t="s">
        <v>41</v>
      </c>
      <c r="C21" s="6" t="s">
        <v>42</v>
      </c>
      <c r="D21" s="10">
        <v>300</v>
      </c>
      <c r="E21" s="10">
        <v>1000</v>
      </c>
      <c r="F21" s="11">
        <f>Table2[[#This Row],[UNIT COST(KSH)]]*Table2[[#This Row],[QTY]]</f>
        <v>300000</v>
      </c>
      <c r="G21" s="12">
        <f t="shared" si="1"/>
        <v>2336.44859813084</v>
      </c>
    </row>
    <row r="22" spans="2:7">
      <c r="B22" s="9" t="s">
        <v>43</v>
      </c>
      <c r="C22" s="6"/>
      <c r="D22" s="10">
        <v>50000</v>
      </c>
      <c r="E22" s="10">
        <v>1</v>
      </c>
      <c r="F22" s="13">
        <f>Table2[[#This Row],[UNIT COST(KSH)]]*Table2[[#This Row],[QTY]]</f>
        <v>50000</v>
      </c>
      <c r="G22" s="14">
        <f t="shared" si="0"/>
        <v>389.408099688473</v>
      </c>
    </row>
    <row r="23" ht="15.75" spans="2:8">
      <c r="B23" s="5"/>
      <c r="C23" s="16" t="s">
        <v>44</v>
      </c>
      <c r="D23" s="5"/>
      <c r="E23" s="5"/>
      <c r="F23" s="17">
        <f>SUM(F3:F22)</f>
        <v>15760000</v>
      </c>
      <c r="G23" s="18">
        <f t="shared" si="0"/>
        <v>122741.433021807</v>
      </c>
      <c r="H23" s="1"/>
    </row>
    <row r="24" ht="15.75"/>
    <row r="25" spans="2:2">
      <c r="B25" s="19" t="s">
        <v>45</v>
      </c>
    </row>
    <row r="26" spans="2:6">
      <c r="B26" s="19" t="s">
        <v>46</v>
      </c>
      <c r="F26" s="20"/>
    </row>
    <row r="27" spans="2:2">
      <c r="B27" s="21"/>
    </row>
    <row r="28" spans="2:2">
      <c r="B28" s="22" t="s">
        <v>47</v>
      </c>
    </row>
    <row r="29" spans="2:2">
      <c r="B29" s="22" t="s">
        <v>48</v>
      </c>
    </row>
    <row r="30" spans="2:2">
      <c r="B30" s="22"/>
    </row>
    <row r="31" spans="2:2">
      <c r="B31" s="23" t="s">
        <v>49</v>
      </c>
    </row>
    <row r="32" spans="2:2">
      <c r="B32" s="22" t="s">
        <v>50</v>
      </c>
    </row>
    <row r="33" spans="2:2">
      <c r="B33" s="22" t="s">
        <v>51</v>
      </c>
    </row>
    <row r="34" spans="2:2">
      <c r="B34" s="22" t="s">
        <v>52</v>
      </c>
    </row>
    <row r="36" spans="2:2">
      <c r="B36" s="24" t="s">
        <v>53</v>
      </c>
    </row>
    <row r="38" spans="2:4">
      <c r="B38" s="24" t="s">
        <v>54</v>
      </c>
      <c r="C38"/>
      <c r="D38" t="s">
        <v>55</v>
      </c>
    </row>
    <row r="39" spans="2:4">
      <c r="B39" s="24" t="s">
        <v>56</v>
      </c>
      <c r="D39" t="s">
        <v>57</v>
      </c>
    </row>
    <row r="40" spans="2:4">
      <c r="B40" s="24" t="s">
        <v>58</v>
      </c>
      <c r="D40" t="s">
        <v>59</v>
      </c>
    </row>
    <row r="41" spans="2:4">
      <c r="B41" s="24" t="s">
        <v>60</v>
      </c>
      <c r="D41" s="1" t="s">
        <v>61</v>
      </c>
    </row>
    <row r="42" spans="2:4">
      <c r="B42" s="24" t="s">
        <v>62</v>
      </c>
      <c r="D42" s="25" t="s">
        <v>63</v>
      </c>
    </row>
  </sheetData>
  <mergeCells count="1">
    <mergeCell ref="B1:F1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MCK</dc:creator>
  <cp:lastModifiedBy>Delstarford Isaiah</cp:lastModifiedBy>
  <dcterms:created xsi:type="dcterms:W3CDTF">2024-07-20T18:51:00Z</dcterms:created>
  <dcterms:modified xsi:type="dcterms:W3CDTF">2025-12-26T08:24:00Z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44675531B13B442BA60A885EB4ADD76B_13</vt:lpwstr>
  </property>
  <property fmtid="{D5CDD505-2E9C-101B-9397-08002B2CF9AE}" pid="3" name="KSOProductBuildVer">
    <vt:lpwstr>1033-12.2.0.23155</vt:lpwstr>
  </property>
</Properties>
</file>